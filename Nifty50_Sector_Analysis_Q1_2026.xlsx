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 Summary Dashboard" sheetId="2" r:id="rId6"/>
    <sheet state="visible" name="Analyst Insights" sheetId="3" r:id="rId7"/>
    <sheet state="visible" name="About This Project" sheetId="4" r:id="rId8"/>
  </sheets>
  <definedNames/>
  <calcPr/>
</workbook>
</file>

<file path=xl/sharedStrings.xml><?xml version="1.0" encoding="utf-8"?>
<sst xmlns="http://schemas.openxmlformats.org/spreadsheetml/2006/main" count="79" uniqueCount="79">
  <si>
    <t>Nifty50 Sector Performance Analysis | Q1 2026(Jan 2-Mar 31)</t>
  </si>
  <si>
    <t>Sector</t>
  </si>
  <si>
    <t>Jan 2, 2026 (Close)</t>
  </si>
  <si>
    <t>Mar 30, 2026 (Close)</t>
  </si>
  <si>
    <t>Q1 Return %</t>
  </si>
  <si>
    <t>52W High</t>
  </si>
  <si>
    <t>52W Low</t>
  </si>
  <si>
    <t>Distance from 52W High %</t>
  </si>
  <si>
    <t>Beat Nifty 50?</t>
  </si>
  <si>
    <t>Benchmark
Return %</t>
  </si>
  <si>
    <t>Nifty 50 (BENCHMARK)</t>
  </si>
  <si>
    <t>BENCHMARK</t>
  </si>
  <si>
    <t>Nifty Auto</t>
  </si>
  <si>
    <t>Nifty Bank</t>
  </si>
  <si>
    <t>Nifty Financial Services</t>
  </si>
  <si>
    <t>Nifty FMCG</t>
  </si>
  <si>
    <t>Nifty IT</t>
  </si>
  <si>
    <t>Nifty Media</t>
  </si>
  <si>
    <t>Nifty Metal</t>
  </si>
  <si>
    <t>Nifty Oil &amp; Gas</t>
  </si>
  <si>
    <t>Nifty Pharma</t>
  </si>
  <si>
    <t>Nifty PSU Bank</t>
  </si>
  <si>
    <t>Nifty Realty</t>
  </si>
  <si>
    <t>Nifty Consumer Durables</t>
  </si>
  <si>
    <t xml:space="preserve">Data Source: NSE India — Historical Index Data (niftyindices.com) &amp; NSE Live Market Indices (nseindia.com)
</t>
  </si>
  <si>
    <t>˜</t>
  </si>
  <si>
    <t>Total Sectors Analyzed</t>
  </si>
  <si>
    <t>Nifty 50 Benchmark Return</t>
  </si>
  <si>
    <t>Best Performing Sector</t>
  </si>
  <si>
    <t>Best Sector Return %</t>
  </si>
  <si>
    <t>Worst Performing Sector</t>
  </si>
  <si>
    <t>Worst Sector Return %</t>
  </si>
  <si>
    <t>Average Sector Return</t>
  </si>
  <si>
    <t>Sectors That Beat Nifty 50</t>
  </si>
  <si>
    <t>Sectors Below Nifty 50</t>
  </si>
  <si>
    <t>KEY MARKET CONTEXT — Q1 2026</t>
  </si>
  <si>
    <t xml:space="preserve">  Nifty 50 fell ~15% from its Jan 2 all-time high of 26,373 to 22,331</t>
  </si>
  <si>
    <t xml:space="preserve">  US-Iran military tensions in March pushed crude oil sharply higher</t>
  </si>
  <si>
    <t xml:space="preserve">  India imports 85% of its oil — higher oil = weaker rupee = market fall</t>
  </si>
  <si>
    <t xml:space="preserve">  IT sector hit by AI disruption fears — investors worried about outsourcing</t>
  </si>
  <si>
    <t xml:space="preserve">  Indian Rupee hit all-time low of 94.84/USD in March 2026</t>
  </si>
  <si>
    <t xml:space="preserve">  FII (Foreign Institutional Investors) pulled money out of Indian markets</t>
  </si>
  <si>
    <t>ANALYST INSIGHTS — Q1 2026 Sector Analysis by Daksh Joshi</t>
  </si>
  <si>
    <t>Finding 1: IT Sector Was the Worst Performer — Crashed ~24%</t>
  </si>
  <si>
    <t>Analysis: Nifty IT fell from 38,320 to 29,063, a decline of ~24%. This was driven by AI disruption fears — global investors worried that AI tools would reduce demand for traditional IT outsourcing services from TCS, Infosys, and Wipro. Multiple IT stocks hit 52-week lows in February 2026.</t>
  </si>
  <si>
    <t>Implication: IT companies pivoting to AI services may recover. Pure outsourcing-dependent companies face structural risk.</t>
  </si>
  <si>
    <t>Finding 2: Realty Crashed ~27% — Most Volatile Sector</t>
  </si>
  <si>
    <t>Analysis: Nifty Realty fell from 898 to 651, the steepest fall among all sectors. Real estate is a 'cyclical' sector — it swings wildly based on economic conditions. Rising interest rate fears made home loans more expensive, while rupee weakness added uncertainty for developers with foreign debt.</t>
  </si>
  <si>
    <t>Implication: Any RBI rate cut signal would immediately boost realty stocks. Watch RBI policy meetings closely.</t>
  </si>
  <si>
    <t>Finding 3: Metal Was the Most Resilient Sector — Fell Only ~2.5%</t>
  </si>
  <si>
    <t>Analysis: Nifty Metal fell just 2.5% (from 11,422 to 11,138) vs Nifty 50's 15% fall. Metal prices benefited from global supply disruptions caused by US-Iran tensions and continued infrastructure spending. Tata Steel and Hindalco held up well.</t>
  </si>
  <si>
    <t>Implication: Metal sector shows 'relative strength' — when market recovers, metals could lead the rally.</t>
  </si>
  <si>
    <t>Finding 4: FMCG Fell ~14% — Defensive But Not Immune</t>
  </si>
  <si>
    <t>Analysis: Nifty FMCG dropped from 53,079 to 45,539 (~14%). FMCG companies sell daily essentials (soap, food, tea) that people buy regardless of market conditions. However, even this 'defensive' sector couldn't escape the broad selling pressure in Q1 2026.</t>
  </si>
  <si>
    <t>Implication: In severe market crashes, even defensive sectors fall — but they typically recover faster than cyclicals.</t>
  </si>
  <si>
    <t>Finding 5: Oil &amp; Gas Fell ~12.6% Despite Rising Oil Prices</t>
  </si>
  <si>
    <t>Analysis: Nifty Oil &amp; Gas dropped from 12,340 to 10,788. This seems contradictory — oil prices went UP but oil stocks went DOWN. The reason: Indian oil companies like IOC and BPCL are refiners and distributors. When crude oil price rises, their input cost goes up but they cannot immediately raise petrol/diesel prices (government controls). So their margins get squeezed.</t>
  </si>
  <si>
    <t>Implication: This teaches an important lesson: rising commodity prices don't always help companies in that sector. It depends on whether the company is a producer or consumer of that commodity.</t>
  </si>
  <si>
    <t>Project Documentation</t>
  </si>
  <si>
    <t>Project Title</t>
  </si>
  <si>
    <t>Nifty 50 Sector Performance Analyzer — Q1 2026</t>
  </si>
  <si>
    <t>Author</t>
  </si>
  <si>
    <t>Daksh Joshi</t>
  </si>
  <si>
    <t>Analysis Period</t>
  </si>
  <si>
    <t>January 2, 2026 to March 30, 2026</t>
  </si>
  <si>
    <t>Tools Used</t>
  </si>
  <si>
    <t>Google Sheets, Looker Studio (upcoming), GitHub</t>
  </si>
  <si>
    <t>Primary Data Source</t>
  </si>
  <si>
    <t>NSE India (nseindia.com) — Historical Index Data</t>
  </si>
  <si>
    <t>Sectors Analyzed</t>
  </si>
  <si>
    <t>12 Nifty Sectoral Indices</t>
  </si>
  <si>
    <t>Benchmark</t>
  </si>
  <si>
    <t>Nifty 50 Index</t>
  </si>
  <si>
    <t>Key Question</t>
  </si>
  <si>
    <t>Which sectors outperformed/underperformed Nifty 50 in Q1 2026, and why?</t>
  </si>
  <si>
    <t>Key Finding</t>
  </si>
  <si>
    <t>Metal was most resilient (-2.5%), Realty crashed hardest (-27.5%)</t>
  </si>
  <si>
    <t>Macro Context</t>
  </si>
  <si>
    <t>US-Iran tensions, crude oil spike, FII outflows, rupee at all-time 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</si>
</sst>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i/>
      <sz val="22.0"/>
      <color rgb="FFFFFFFF"/>
      <name val="Arial"/>
      <scheme val="minor"/>
    </font>
    <font>
      <sz val="16.0"/>
      <color theme="1"/>
      <name val="Arial"/>
      <scheme val="minor"/>
    </font>
    <font>
      <b/>
      <sz val="10.0"/>
      <color rgb="FFFFFFFF"/>
      <name val="Monospace"/>
    </font>
    <font>
      <b/>
      <sz val="10.0"/>
      <color rgb="FFFFFFFF"/>
      <name val="Arial"/>
      <scheme val="minor"/>
    </font>
    <font>
      <b/>
      <sz val="10.0"/>
      <color rgb="FFFFFFFF"/>
      <name val="Arial"/>
    </font>
    <font>
      <b/>
      <sz val="9.0"/>
      <color rgb="FF1F4E79"/>
      <name val="Arial"/>
    </font>
    <font>
      <b/>
      <color theme="1"/>
      <name val="Arial"/>
    </font>
    <font>
      <color rgb="FF0000FF"/>
      <name val="Arial"/>
    </font>
    <font>
      <color theme="1"/>
      <name val="Arial"/>
    </font>
    <font>
      <b/>
      <color rgb="FF1F4E79"/>
      <name val="Arial"/>
    </font>
    <font>
      <color theme="1"/>
      <name val="Arial"/>
      <scheme val="minor"/>
    </font>
    <font>
      <b/>
      <sz val="14.0"/>
      <color rgb="FFFFFFFF"/>
      <name val="Arial"/>
    </font>
    <font/>
    <font>
      <b/>
      <sz val="11.0"/>
      <color rgb="FF1F4E79"/>
      <name val="Arial"/>
      <scheme val="minor"/>
    </font>
    <font>
      <b/>
      <sz val="11.0"/>
      <color theme="1"/>
      <name val="Arial"/>
      <scheme val="minor"/>
    </font>
    <font>
      <b/>
      <sz val="11.0"/>
      <color rgb="FF1F4E79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sz val="11.0"/>
      <color theme="1"/>
      <name val="Calibri"/>
    </font>
    <font>
      <i/>
      <color rgb="FFC55A1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  <fill>
      <patternFill patternType="solid">
        <fgColor theme="0"/>
        <bgColor theme="0"/>
      </patternFill>
    </fill>
    <fill>
      <patternFill patternType="solid">
        <fgColor rgb="FFD6E4F0"/>
        <bgColor rgb="FFD6E4F0"/>
      </patternFill>
    </fill>
    <fill>
      <patternFill patternType="solid">
        <fgColor rgb="FFC55A11"/>
        <bgColor rgb="FFC55A11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bottom" wrapText="1"/>
    </xf>
    <xf borderId="1" fillId="4" fontId="7" numFmtId="0" xfId="0" applyBorder="1" applyFill="1" applyFont="1"/>
    <xf borderId="1" fillId="4" fontId="8" numFmtId="4" xfId="0" applyAlignment="1" applyBorder="1" applyFont="1" applyNumberFormat="1">
      <alignment horizontal="center" vertical="bottom"/>
    </xf>
    <xf borderId="1" fillId="4" fontId="9" numFmtId="2" xfId="0" applyAlignment="1" applyBorder="1" applyFont="1" applyNumberFormat="1">
      <alignment horizontal="center" vertical="bottom"/>
    </xf>
    <xf borderId="1" fillId="4" fontId="10" numFmtId="0" xfId="0" applyAlignment="1" applyBorder="1" applyFont="1">
      <alignment horizontal="center" vertical="bottom"/>
    </xf>
    <xf borderId="0" fillId="0" fontId="11" numFmtId="0" xfId="0" applyFont="1"/>
    <xf borderId="1" fillId="0" fontId="9" numFmtId="0" xfId="0" applyBorder="1" applyFont="1"/>
    <xf borderId="1" fillId="0" fontId="8" numFmtId="4" xfId="0" applyAlignment="1" applyBorder="1" applyFont="1" applyNumberFormat="1">
      <alignment horizontal="center" vertical="bottom"/>
    </xf>
    <xf borderId="1" fillId="0" fontId="9" numFmtId="2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vertical="center"/>
    </xf>
    <xf borderId="2" fillId="5" fontId="12" numFmtId="0" xfId="0" applyAlignment="1" applyBorder="1" applyFill="1" applyFont="1">
      <alignment horizontal="center"/>
    </xf>
    <xf borderId="3" fillId="0" fontId="13" numFmtId="0" xfId="0" applyBorder="1" applyFont="1"/>
    <xf borderId="4" fillId="0" fontId="13" numFmtId="0" xfId="0" applyBorder="1" applyFont="1"/>
    <xf borderId="0" fillId="6" fontId="14" numFmtId="0" xfId="0" applyAlignment="1" applyFill="1" applyFont="1">
      <alignment vertical="bottom"/>
    </xf>
    <xf borderId="0" fillId="0" fontId="15" numFmtId="0" xfId="0" applyAlignment="1" applyFont="1">
      <alignment horizontal="center" readingOrder="0" vertical="center"/>
    </xf>
    <xf borderId="1" fillId="7" fontId="16" numFmtId="0" xfId="0" applyAlignment="1" applyBorder="1" applyFill="1" applyFont="1">
      <alignment vertical="bottom"/>
    </xf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0" fontId="15" numFmtId="4" xfId="0" applyAlignment="1" applyBorder="1" applyFont="1" applyNumberFormat="1">
      <alignment horizontal="center" vertical="center"/>
    </xf>
    <xf borderId="1" fillId="0" fontId="15" numFmtId="4" xfId="0" applyAlignment="1" applyBorder="1" applyFont="1" applyNumberFormat="1">
      <alignment horizontal="center" readingOrder="0" vertical="center"/>
    </xf>
    <xf borderId="2" fillId="8" fontId="17" numFmtId="0" xfId="0" applyAlignment="1" applyBorder="1" applyFill="1" applyFont="1">
      <alignment horizontal="center" vertical="bottom"/>
    </xf>
    <xf borderId="5" fillId="9" fontId="9" numFmtId="0" xfId="0" applyAlignment="1" applyBorder="1" applyFill="1" applyFont="1">
      <alignment vertical="bottom"/>
    </xf>
    <xf borderId="6" fillId="0" fontId="13" numFmtId="0" xfId="0" applyBorder="1" applyFont="1"/>
    <xf borderId="2" fillId="5" fontId="18" numFmtId="0" xfId="0" applyAlignment="1" applyBorder="1" applyFont="1">
      <alignment horizontal="center" vertical="center"/>
    </xf>
    <xf borderId="0" fillId="0" fontId="19" numFmtId="0" xfId="0" applyAlignment="1" applyFont="1">
      <alignment vertical="bottom"/>
    </xf>
    <xf borderId="5" fillId="7" fontId="16" numFmtId="0" xfId="0" applyAlignment="1" applyBorder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20" numFmtId="0" xfId="0" applyAlignment="1" applyFont="1">
      <alignment shrinkToFit="0" vertical="bottom" wrapText="1"/>
    </xf>
    <xf borderId="1" fillId="7" fontId="7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0"/>
    <col customWidth="1" min="3" max="3" width="16.63"/>
    <col customWidth="1" min="4" max="4" width="11.0"/>
    <col customWidth="1" min="5" max="5" width="11.13"/>
    <col customWidth="1" min="6" max="6" width="9.13"/>
    <col customWidth="1" min="7" max="7" width="22.13"/>
    <col customWidth="1" min="8" max="8" width="12.1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0" customHeight="1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5" t="s">
        <v>8</v>
      </c>
      <c r="J2" s="6" t="s">
        <v>9</v>
      </c>
    </row>
    <row r="3">
      <c r="A3" s="7" t="s">
        <v>10</v>
      </c>
      <c r="B3" s="8">
        <v>26328.55</v>
      </c>
      <c r="C3" s="8">
        <v>22331.4</v>
      </c>
      <c r="D3" s="8">
        <f t="shared" ref="D3:D15" si="1">(C3-B3)/B3*100</f>
        <v>-15.18180834</v>
      </c>
      <c r="E3" s="8">
        <v>26373.2</v>
      </c>
      <c r="F3" s="8">
        <v>21743.65</v>
      </c>
      <c r="G3" s="9">
        <f t="shared" ref="G3:G15" si="2">(C3-E3)/E3*100</f>
        <v>-15.32540609</v>
      </c>
      <c r="H3" s="10" t="s">
        <v>11</v>
      </c>
      <c r="J3" s="11">
        <f>(C3-B3)/B3*100</f>
        <v>-15.18180834</v>
      </c>
    </row>
    <row r="4">
      <c r="A4" s="12" t="s">
        <v>12</v>
      </c>
      <c r="B4" s="13">
        <v>28803.65</v>
      </c>
      <c r="C4" s="13">
        <v>23769.6</v>
      </c>
      <c r="D4" s="8">
        <f t="shared" si="1"/>
        <v>-17.47712529</v>
      </c>
      <c r="E4" s="13">
        <v>29179.1</v>
      </c>
      <c r="F4" s="13">
        <v>19316.65</v>
      </c>
      <c r="G4" s="14">
        <f t="shared" si="2"/>
        <v>-18.53895425</v>
      </c>
      <c r="H4" s="15" t="str">
        <f t="shared" ref="H4:H15" si="3">IF(D4&gt;$J$3,"YES","NO")</f>
        <v>NO</v>
      </c>
    </row>
    <row r="5">
      <c r="A5" s="12" t="s">
        <v>13</v>
      </c>
      <c r="B5" s="13">
        <v>60150.95</v>
      </c>
      <c r="C5" s="13">
        <v>50275.35</v>
      </c>
      <c r="D5" s="8">
        <f t="shared" si="1"/>
        <v>-16.41802831</v>
      </c>
      <c r="E5" s="13">
        <v>61764.85</v>
      </c>
      <c r="F5" s="13">
        <v>49156.95</v>
      </c>
      <c r="G5" s="14">
        <f t="shared" si="2"/>
        <v>-18.60200421</v>
      </c>
      <c r="H5" s="15" t="str">
        <f t="shared" si="3"/>
        <v>NO</v>
      </c>
    </row>
    <row r="6">
      <c r="A6" s="12" t="s">
        <v>14</v>
      </c>
      <c r="B6" s="13">
        <v>27899.15</v>
      </c>
      <c r="C6" s="13">
        <v>23521.8</v>
      </c>
      <c r="D6" s="8">
        <f t="shared" si="1"/>
        <v>-15.68990453</v>
      </c>
      <c r="E6" s="13">
        <v>28562.5</v>
      </c>
      <c r="F6" s="13">
        <v>23450.85</v>
      </c>
      <c r="G6" s="14">
        <f t="shared" si="2"/>
        <v>-17.64796499</v>
      </c>
      <c r="H6" s="15" t="str">
        <f t="shared" si="3"/>
        <v>NO</v>
      </c>
    </row>
    <row r="7">
      <c r="A7" s="12" t="s">
        <v>15</v>
      </c>
      <c r="B7" s="13">
        <v>53078.8</v>
      </c>
      <c r="C7" s="13">
        <v>45538.65</v>
      </c>
      <c r="D7" s="8">
        <f t="shared" si="1"/>
        <v>-14.20557737</v>
      </c>
      <c r="E7" s="13">
        <v>58485.05</v>
      </c>
      <c r="F7" s="13">
        <v>45436.0</v>
      </c>
      <c r="G7" s="14">
        <f t="shared" si="2"/>
        <v>-22.13625533</v>
      </c>
      <c r="H7" s="15" t="str">
        <f t="shared" si="3"/>
        <v>YES</v>
      </c>
    </row>
    <row r="8">
      <c r="A8" s="12" t="s">
        <v>16</v>
      </c>
      <c r="B8" s="13">
        <v>38320.3</v>
      </c>
      <c r="C8" s="13">
        <v>29062.6</v>
      </c>
      <c r="D8" s="8">
        <f t="shared" si="1"/>
        <v>-24.15873571</v>
      </c>
      <c r="E8" s="13">
        <v>40301.4</v>
      </c>
      <c r="F8" s="13">
        <v>28288.05</v>
      </c>
      <c r="G8" s="14">
        <f t="shared" si="2"/>
        <v>-27.88687242</v>
      </c>
      <c r="H8" s="15" t="str">
        <f t="shared" si="3"/>
        <v>NO</v>
      </c>
    </row>
    <row r="9">
      <c r="A9" s="12" t="s">
        <v>17</v>
      </c>
      <c r="B9" s="13">
        <v>1462.9</v>
      </c>
      <c r="C9" s="13">
        <v>1261.85</v>
      </c>
      <c r="D9" s="8">
        <f t="shared" si="1"/>
        <v>-13.74324971</v>
      </c>
      <c r="E9" s="13">
        <v>1786.15</v>
      </c>
      <c r="F9" s="13">
        <v>1245.05</v>
      </c>
      <c r="G9" s="14">
        <f t="shared" si="2"/>
        <v>-29.35363771</v>
      </c>
      <c r="H9" s="15" t="str">
        <f t="shared" si="3"/>
        <v>YES</v>
      </c>
    </row>
    <row r="10">
      <c r="A10" s="12" t="s">
        <v>18</v>
      </c>
      <c r="B10" s="13">
        <v>11421.85</v>
      </c>
      <c r="C10" s="13">
        <v>11138.4</v>
      </c>
      <c r="D10" s="8">
        <f t="shared" si="1"/>
        <v>-2.481647019</v>
      </c>
      <c r="E10" s="13">
        <v>12509.75</v>
      </c>
      <c r="F10" s="13">
        <v>7690.2</v>
      </c>
      <c r="G10" s="14">
        <f t="shared" si="2"/>
        <v>-10.96224945</v>
      </c>
      <c r="H10" s="15" t="str">
        <f t="shared" si="3"/>
        <v>YES</v>
      </c>
    </row>
    <row r="11">
      <c r="A11" s="12" t="s">
        <v>19</v>
      </c>
      <c r="B11" s="13">
        <v>12340.05</v>
      </c>
      <c r="C11" s="13">
        <v>10788.05</v>
      </c>
      <c r="D11" s="8">
        <f t="shared" si="1"/>
        <v>-12.57693445</v>
      </c>
      <c r="E11" s="13">
        <v>13607.2</v>
      </c>
      <c r="F11" s="13">
        <v>4632.7</v>
      </c>
      <c r="G11" s="14">
        <f t="shared" si="2"/>
        <v>-20.71807572</v>
      </c>
      <c r="H11" s="15" t="str">
        <f t="shared" si="3"/>
        <v>YES</v>
      </c>
    </row>
    <row r="12">
      <c r="A12" s="12" t="s">
        <v>20</v>
      </c>
      <c r="B12" s="13">
        <v>22790.98</v>
      </c>
      <c r="C12" s="13">
        <v>22232.25</v>
      </c>
      <c r="D12" s="8">
        <f t="shared" si="1"/>
        <v>-2.451540039</v>
      </c>
      <c r="E12" s="13">
        <v>23540.9</v>
      </c>
      <c r="F12" s="13">
        <v>19121.1</v>
      </c>
      <c r="G12" s="14">
        <f t="shared" si="2"/>
        <v>-5.559048295</v>
      </c>
      <c r="H12" s="15" t="str">
        <f t="shared" si="3"/>
        <v>YES</v>
      </c>
    </row>
    <row r="13">
      <c r="A13" s="12" t="s">
        <v>21</v>
      </c>
      <c r="B13" s="13">
        <v>8649.9</v>
      </c>
      <c r="C13" s="13">
        <v>7873.45</v>
      </c>
      <c r="D13" s="8">
        <f t="shared" si="1"/>
        <v>-8.976404351</v>
      </c>
      <c r="E13" s="13">
        <v>9918.65</v>
      </c>
      <c r="F13" s="13">
        <v>5904.1</v>
      </c>
      <c r="G13" s="14">
        <f t="shared" si="2"/>
        <v>-20.6197416</v>
      </c>
      <c r="H13" s="15" t="str">
        <f t="shared" si="3"/>
        <v>YES</v>
      </c>
    </row>
    <row r="14">
      <c r="A14" s="12" t="s">
        <v>22</v>
      </c>
      <c r="B14" s="13">
        <v>898.3</v>
      </c>
      <c r="C14" s="13">
        <v>651.15</v>
      </c>
      <c r="D14" s="8">
        <f t="shared" si="1"/>
        <v>-27.51308026</v>
      </c>
      <c r="E14" s="13">
        <v>1049.7</v>
      </c>
      <c r="F14" s="13">
        <v>648.6</v>
      </c>
      <c r="G14" s="14">
        <f t="shared" si="2"/>
        <v>-37.96799085</v>
      </c>
      <c r="H14" s="15" t="str">
        <f t="shared" si="3"/>
        <v>NO</v>
      </c>
    </row>
    <row r="15">
      <c r="A15" s="12" t="s">
        <v>23</v>
      </c>
      <c r="B15" s="13">
        <v>37239.4</v>
      </c>
      <c r="C15" s="13">
        <v>33023.3</v>
      </c>
      <c r="D15" s="8">
        <f t="shared" si="1"/>
        <v>-11.32161098</v>
      </c>
      <c r="E15" s="13">
        <v>44426.55</v>
      </c>
      <c r="F15" s="13">
        <v>14089.55</v>
      </c>
      <c r="G15" s="14">
        <f t="shared" si="2"/>
        <v>-25.66764694</v>
      </c>
      <c r="H15" s="15" t="str">
        <f t="shared" si="3"/>
        <v>YES</v>
      </c>
    </row>
    <row r="17">
      <c r="A17" s="16" t="s">
        <v>24</v>
      </c>
    </row>
  </sheetData>
  <mergeCells count="2">
    <mergeCell ref="A1:H1"/>
    <mergeCell ref="A17:H17"/>
  </mergeCells>
  <conditionalFormatting sqref="D3:D15">
    <cfRule type="colorScale" priority="1">
      <colorScale>
        <cfvo type="min"/>
        <cfvo type="max"/>
        <color rgb="FFCC4125"/>
        <color rgb="FFFFFFFF"/>
      </colorScale>
    </cfRule>
  </conditionalFormatting>
  <dataValidations>
    <dataValidation type="list" allowBlank="1" showErrorMessage="1" sqref="J3">
      <formula1>"-15.18180834"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4.0"/>
    <col customWidth="1" min="3" max="3" width="8.63"/>
  </cols>
  <sheetData>
    <row r="1" ht="36.75" customHeight="1">
      <c r="A1" s="17" t="s">
        <v>25</v>
      </c>
      <c r="B1" s="18"/>
      <c r="C1" s="19"/>
    </row>
    <row r="2">
      <c r="A2" s="20"/>
      <c r="B2" s="21"/>
    </row>
    <row r="3">
      <c r="A3" s="22" t="s">
        <v>26</v>
      </c>
      <c r="B3" s="23">
        <v>12.0</v>
      </c>
    </row>
    <row r="4">
      <c r="A4" s="22" t="s">
        <v>27</v>
      </c>
      <c r="B4" s="24">
        <f>'Raw Data'!J3</f>
        <v>-15.18180834</v>
      </c>
    </row>
    <row r="5">
      <c r="A5" s="22" t="s">
        <v>28</v>
      </c>
      <c r="B5" s="24" t="str">
        <f t="array" ref="B5">INDEX('Raw Data'!A4:A15,MATCH(MAX('Raw Data'!D4:D15),'Raw Data'!D4:D15,0))</f>
        <v>Nifty Pharma</v>
      </c>
    </row>
    <row r="6">
      <c r="A6" s="22" t="s">
        <v>29</v>
      </c>
      <c r="B6" s="25">
        <f>MAX('Raw Data'!D4:D15 )</f>
        <v>-2.451540039</v>
      </c>
    </row>
    <row r="7">
      <c r="A7" s="22" t="s">
        <v>30</v>
      </c>
      <c r="B7" s="24" t="str">
        <f t="array" ref="B7">INDEX('Raw Data'!A4:A15,MATCH(MIN('Raw Data'!D4:D15),'Raw Data'!D4:D15,0))</f>
        <v>Nifty Realty</v>
      </c>
    </row>
    <row r="8">
      <c r="A8" s="22" t="s">
        <v>31</v>
      </c>
      <c r="B8" s="25">
        <f>MIN('Raw Data'!D4:D15)</f>
        <v>-27.51308026</v>
      </c>
    </row>
    <row r="9">
      <c r="A9" s="22" t="s">
        <v>32</v>
      </c>
      <c r="B9" s="26">
        <f>AVERAGE('Raw Data'!D4:D15)</f>
        <v>-13.91781984</v>
      </c>
    </row>
    <row r="10">
      <c r="A10" s="22" t="s">
        <v>33</v>
      </c>
      <c r="B10" s="24">
        <f>COUNTIF('Raw Data'!H4:H15,"Yes")</f>
        <v>7</v>
      </c>
    </row>
    <row r="11">
      <c r="A11" s="22" t="s">
        <v>34</v>
      </c>
      <c r="B11" s="24">
        <f>COUNTIF('Raw Data'!H4:H15,"No")</f>
        <v>5</v>
      </c>
    </row>
    <row r="14">
      <c r="A14" s="27" t="s">
        <v>35</v>
      </c>
      <c r="B14" s="19"/>
    </row>
    <row r="15">
      <c r="A15" s="28" t="s">
        <v>36</v>
      </c>
      <c r="B15" s="29"/>
    </row>
    <row r="16">
      <c r="A16" s="28" t="s">
        <v>37</v>
      </c>
      <c r="B16" s="29"/>
    </row>
    <row r="17">
      <c r="A17" s="28" t="s">
        <v>38</v>
      </c>
      <c r="B17" s="29"/>
    </row>
    <row r="18">
      <c r="A18" s="28" t="s">
        <v>39</v>
      </c>
      <c r="B18" s="29"/>
    </row>
    <row r="19">
      <c r="A19" s="28" t="s">
        <v>40</v>
      </c>
      <c r="B19" s="29"/>
    </row>
    <row r="20">
      <c r="A20" s="28" t="s">
        <v>41</v>
      </c>
      <c r="B20" s="29"/>
    </row>
  </sheetData>
  <mergeCells count="8">
    <mergeCell ref="A1:C1"/>
    <mergeCell ref="A14:B14"/>
    <mergeCell ref="A15:B15"/>
    <mergeCell ref="A16:B16"/>
    <mergeCell ref="A17:B17"/>
    <mergeCell ref="A18:B18"/>
    <mergeCell ref="A19:B19"/>
    <mergeCell ref="A20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68.25"/>
  </cols>
  <sheetData>
    <row r="1" ht="33.0" customHeight="1">
      <c r="A1" s="30" t="s">
        <v>42</v>
      </c>
      <c r="B1" s="19"/>
    </row>
    <row r="2">
      <c r="A2" s="31"/>
      <c r="B2" s="31"/>
    </row>
    <row r="3">
      <c r="A3" s="32" t="s">
        <v>43</v>
      </c>
      <c r="B3" s="29"/>
    </row>
    <row r="4">
      <c r="A4" s="33" t="s">
        <v>44</v>
      </c>
    </row>
    <row r="5">
      <c r="A5" s="34" t="s">
        <v>45</v>
      </c>
    </row>
    <row r="6">
      <c r="A6" s="31"/>
      <c r="B6" s="31"/>
    </row>
    <row r="7">
      <c r="A7" s="32" t="s">
        <v>46</v>
      </c>
      <c r="B7" s="29"/>
    </row>
    <row r="8">
      <c r="A8" s="33" t="s">
        <v>47</v>
      </c>
    </row>
    <row r="9">
      <c r="A9" s="34" t="s">
        <v>48</v>
      </c>
    </row>
    <row r="10">
      <c r="A10" s="31"/>
      <c r="B10" s="31"/>
    </row>
    <row r="11">
      <c r="A11" s="32" t="s">
        <v>49</v>
      </c>
      <c r="B11" s="29"/>
    </row>
    <row r="12">
      <c r="A12" s="33" t="s">
        <v>50</v>
      </c>
    </row>
    <row r="13">
      <c r="A13" s="34" t="s">
        <v>51</v>
      </c>
    </row>
    <row r="14">
      <c r="A14" s="31"/>
      <c r="B14" s="31"/>
    </row>
    <row r="15">
      <c r="A15" s="32" t="s">
        <v>52</v>
      </c>
      <c r="B15" s="29"/>
    </row>
    <row r="16">
      <c r="A16" s="33" t="s">
        <v>53</v>
      </c>
    </row>
    <row r="17">
      <c r="A17" s="34" t="s">
        <v>54</v>
      </c>
    </row>
    <row r="18">
      <c r="A18" s="31"/>
      <c r="B18" s="31"/>
    </row>
    <row r="19">
      <c r="A19" s="32" t="s">
        <v>55</v>
      </c>
      <c r="B19" s="29"/>
    </row>
    <row r="20">
      <c r="A20" s="33" t="s">
        <v>56</v>
      </c>
    </row>
    <row r="21">
      <c r="A21" s="34" t="s">
        <v>57</v>
      </c>
    </row>
  </sheetData>
  <mergeCells count="16">
    <mergeCell ref="A1:B1"/>
    <mergeCell ref="A3:B3"/>
    <mergeCell ref="A4:B4"/>
    <mergeCell ref="A5:B5"/>
    <mergeCell ref="A7:B7"/>
    <mergeCell ref="A8:B8"/>
    <mergeCell ref="A9:B9"/>
    <mergeCell ref="A20:B20"/>
    <mergeCell ref="A21:B21"/>
    <mergeCell ref="A11:B11"/>
    <mergeCell ref="A12:B12"/>
    <mergeCell ref="A13:B13"/>
    <mergeCell ref="A15:B15"/>
    <mergeCell ref="A16:B16"/>
    <mergeCell ref="A17:B17"/>
    <mergeCell ref="A19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56.5"/>
  </cols>
  <sheetData>
    <row r="1" ht="33.0" customHeight="1">
      <c r="A1" s="30" t="s">
        <v>58</v>
      </c>
      <c r="B1" s="19"/>
    </row>
    <row r="2">
      <c r="A2" s="31"/>
      <c r="B2" s="31"/>
    </row>
    <row r="3">
      <c r="A3" s="35" t="s">
        <v>59</v>
      </c>
      <c r="B3" s="36" t="s">
        <v>60</v>
      </c>
    </row>
    <row r="4">
      <c r="A4" s="35" t="s">
        <v>61</v>
      </c>
      <c r="B4" s="36" t="s">
        <v>62</v>
      </c>
    </row>
    <row r="5">
      <c r="A5" s="35" t="s">
        <v>63</v>
      </c>
      <c r="B5" s="36" t="s">
        <v>64</v>
      </c>
    </row>
    <row r="6">
      <c r="A6" s="35" t="s">
        <v>65</v>
      </c>
      <c r="B6" s="36" t="s">
        <v>66</v>
      </c>
    </row>
    <row r="7">
      <c r="A7" s="35" t="s">
        <v>67</v>
      </c>
      <c r="B7" s="36" t="s">
        <v>68</v>
      </c>
    </row>
    <row r="8">
      <c r="A8" s="35" t="s">
        <v>69</v>
      </c>
      <c r="B8" s="36" t="s">
        <v>70</v>
      </c>
    </row>
    <row r="9">
      <c r="A9" s="35" t="s">
        <v>71</v>
      </c>
      <c r="B9" s="36" t="s">
        <v>72</v>
      </c>
    </row>
    <row r="10">
      <c r="A10" s="35" t="s">
        <v>73</v>
      </c>
      <c r="B10" s="36" t="s">
        <v>74</v>
      </c>
    </row>
    <row r="11">
      <c r="A11" s="35" t="s">
        <v>75</v>
      </c>
      <c r="B11" s="36" t="s">
        <v>76</v>
      </c>
    </row>
    <row r="12">
      <c r="A12" s="35" t="s">
        <v>77</v>
      </c>
      <c r="B12" s="36" t="s">
        <v>78</v>
      </c>
    </row>
    <row r="18">
      <c r="C18" s="37"/>
    </row>
  </sheetData>
  <mergeCells count="1">
    <mergeCell ref="A1:B1"/>
  </mergeCells>
  <drawing r:id="rId1"/>
</worksheet>
</file>